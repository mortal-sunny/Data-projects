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\Desktop\"/>
    </mc:Choice>
  </mc:AlternateContent>
  <xr:revisionPtr revIDLastSave="0" documentId="13_ncr:1_{CDF0A018-3345-4FC0-B492-795BF6939107}" xr6:coauthVersionLast="47" xr6:coauthVersionMax="47" xr10:uidLastSave="{00000000-0000-0000-0000-000000000000}"/>
  <bookViews>
    <workbookView xWindow="-120" yWindow="-120" windowWidth="20640" windowHeight="11160" activeTab="1" xr2:uid="{A1B9C54C-2FF2-4414-88A9-1BB1F744C8AA}"/>
  </bookViews>
  <sheets>
    <sheet name="Raw Data" sheetId="1" r:id="rId1"/>
    <sheet name="Analysis" sheetId="2" r:id="rId2"/>
  </sheets>
  <definedNames>
    <definedName name="_xlnm._FilterDatabase" localSheetId="0" hidden="1">'Raw Data'!$A$1:$I$31</definedName>
    <definedName name="A">'Raw Data'!$A$99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10" i="2"/>
  <c r="A2" i="2" a="1"/>
  <c r="A2" i="2" s="1"/>
  <c r="B2" i="2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12" i="1"/>
  <c r="I11" i="1"/>
  <c r="I3" i="1"/>
  <c r="I4" i="1"/>
  <c r="I5" i="1"/>
  <c r="I6" i="1"/>
  <c r="I7" i="1"/>
  <c r="I8" i="1"/>
  <c r="I9" i="1"/>
  <c r="I10" i="1"/>
  <c r="I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9" i="1"/>
  <c r="D3" i="1"/>
  <c r="D4" i="1"/>
  <c r="D5" i="1"/>
  <c r="D6" i="1"/>
  <c r="D7" i="1"/>
  <c r="D8" i="1"/>
  <c r="D2" i="1"/>
  <c r="C6" i="2" l="1"/>
  <c r="C5" i="2"/>
  <c r="C4" i="2"/>
  <c r="C2" i="2"/>
  <c r="C3" i="2"/>
  <c r="B6" i="2"/>
  <c r="D2" i="2"/>
  <c r="B5" i="2"/>
  <c r="D4" i="2"/>
  <c r="D3" i="2"/>
  <c r="B4" i="2"/>
  <c r="D6" i="2"/>
  <c r="B3" i="2"/>
  <c r="D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<sst xmlns="http://schemas.openxmlformats.org/spreadsheetml/2006/main" count="82" uniqueCount="28">
  <si>
    <t>Date of Checking</t>
  </si>
  <si>
    <t>Route</t>
  </si>
  <si>
    <t>Flight Date</t>
  </si>
  <si>
    <t>Days to Departure</t>
  </si>
  <si>
    <t>IndiGo Fare (INR)</t>
  </si>
  <si>
    <t>SpiceJet Fare (INR)</t>
  </si>
  <si>
    <t>Air India Fare (INR)</t>
  </si>
  <si>
    <t>DEL-BOM</t>
  </si>
  <si>
    <t xml:space="preserve">Time slot </t>
  </si>
  <si>
    <t>Cheapest Airline</t>
  </si>
  <si>
    <t>Morning</t>
  </si>
  <si>
    <t>Evening</t>
  </si>
  <si>
    <t>DEL-BLR</t>
  </si>
  <si>
    <t>DEL-MAA</t>
  </si>
  <si>
    <t>DEL-HYD</t>
  </si>
  <si>
    <t>DEL-CCU</t>
  </si>
  <si>
    <t xml:space="preserve">Route </t>
  </si>
  <si>
    <t>Avg Indigo</t>
  </si>
  <si>
    <t>Avg Air India</t>
  </si>
  <si>
    <t>Avg SpiceJet</t>
  </si>
  <si>
    <t xml:space="preserve">Morning </t>
  </si>
  <si>
    <t xml:space="preserve">Evening </t>
  </si>
  <si>
    <t>Time slot</t>
  </si>
  <si>
    <t>Key Findings:</t>
  </si>
  <si>
    <t>2. Morning slots average ₹11,343 vs Evening ₹10,854 — evening flights are 4.31% cheaper on average</t>
  </si>
  <si>
    <t>4. Booking 30 days in advance saves on average 45% across all routes compared to next-day booking</t>
  </si>
  <si>
    <t>3. SpiceJet does not operate DEL-HYD and DEL-MAA routes — IndiGo has no low-cost competition there</t>
  </si>
  <si>
    <t>1. On the four DEL-BOM checks where SpiceJet had a fare, SpiceJet averaged ₹9,434 vs IndiGo ₹8,433 on those same checks, about 12% more expensive (IndiGo’s average across all six DEL-BOM checks is ₹8,292)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</si>
</sst>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44" fontId="3" fillId="2" borderId="5" xfId="1" applyNumberFormat="1" applyFont="1" applyFill="1" applyBorder="1" applyAlignment="1">
      <alignment horizontal="center" vertical="center"/>
    </xf>
    <xf numFmtId="0" fontId="3" fillId="2" borderId="5" xfId="0" applyFont="1" applyFill="1" applyBorder="1"/>
    <xf numFmtId="0" fontId="3" fillId="2" borderId="6" xfId="0" applyFont="1" applyFill="1" applyBorder="1"/>
    <xf numFmtId="15" fontId="0" fillId="3" borderId="4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5" fontId="0" fillId="3" borderId="5" xfId="0" applyNumberFormat="1" applyFont="1" applyFill="1" applyBorder="1" applyAlignment="1">
      <alignment horizontal="center" vertical="center"/>
    </xf>
    <xf numFmtId="164" fontId="0" fillId="3" borderId="5" xfId="0" applyNumberFormat="1" applyFont="1" applyFill="1" applyBorder="1" applyAlignment="1">
      <alignment horizontal="center" vertical="center"/>
    </xf>
    <xf numFmtId="44" fontId="0" fillId="3" borderId="5" xfId="1" applyNumberFormat="1" applyFont="1" applyFill="1" applyBorder="1" applyAlignment="1">
      <alignment horizontal="center" vertical="center"/>
    </xf>
    <xf numFmtId="0" fontId="0" fillId="3" borderId="5" xfId="0" applyFont="1" applyFill="1" applyBorder="1"/>
    <xf numFmtId="0" fontId="0" fillId="3" borderId="6" xfId="0" applyFont="1" applyFill="1" applyBorder="1"/>
    <xf numFmtId="15" fontId="0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44" fontId="0" fillId="0" borderId="5" xfId="1" applyNumberFormat="1" applyFont="1" applyBorder="1" applyAlignment="1">
      <alignment horizontal="center" vertical="center"/>
    </xf>
    <xf numFmtId="0" fontId="0" fillId="0" borderId="5" xfId="0" applyFont="1" applyBorder="1"/>
    <xf numFmtId="0" fontId="0" fillId="0" borderId="6" xfId="0" applyFont="1" applyBorder="1"/>
    <xf numFmtId="15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5" fontId="0" fillId="0" borderId="2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44" fontId="0" fillId="0" borderId="2" xfId="1" applyNumberFormat="1" applyFont="1" applyBorder="1" applyAlignment="1">
      <alignment horizontal="center" vertical="center"/>
    </xf>
    <xf numFmtId="0" fontId="2" fillId="2" borderId="0" xfId="0" applyFont="1" applyFill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1B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Average Fare by Route — IndiGo vs Competitors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16136197934134"/>
          <c:y val="0.19949074074074077"/>
          <c:w val="0.8641134960790803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Avg Indigo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Analysis!$A$2:$A$6</c:f>
              <c:strCache>
                <c:ptCount val="5"/>
                <c:pt idx="0">
                  <c:v>DEL-BOM</c:v>
                </c:pt>
                <c:pt idx="1">
                  <c:v>DEL-BLR</c:v>
                </c:pt>
                <c:pt idx="2">
                  <c:v>DEL-HYD</c:v>
                </c:pt>
                <c:pt idx="3">
                  <c:v>DEL-MAA</c:v>
                </c:pt>
                <c:pt idx="4">
                  <c:v>DEL-CCU</c:v>
                </c:pt>
              </c:strCache>
            </c:strRef>
          </c:cat>
          <c:val>
            <c:numRef>
              <c:f>Analysis!$B$2:$B$6</c:f>
              <c:numCache>
                <c:formatCode>0</c:formatCode>
                <c:ptCount val="5"/>
                <c:pt idx="0">
                  <c:v>8292.3333333333339</c:v>
                </c:pt>
                <c:pt idx="1">
                  <c:v>12047.333333333334</c:v>
                </c:pt>
                <c:pt idx="2">
                  <c:v>11461</c:v>
                </c:pt>
                <c:pt idx="3">
                  <c:v>11502.833333333334</c:v>
                </c:pt>
                <c:pt idx="4">
                  <c:v>12190.333333333334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7-42DB-B142-2C960D63FBF4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Avg SpiceJet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Analysis!$A$2:$A$6</c:f>
              <c:strCache>
                <c:ptCount val="5"/>
                <c:pt idx="0">
                  <c:v>DEL-BOM</c:v>
                </c:pt>
                <c:pt idx="1">
                  <c:v>DEL-BLR</c:v>
                </c:pt>
                <c:pt idx="2">
                  <c:v>DEL-HYD</c:v>
                </c:pt>
                <c:pt idx="3">
                  <c:v>DEL-MAA</c:v>
                </c:pt>
                <c:pt idx="4">
                  <c:v>DEL-CCU</c:v>
                </c:pt>
              </c:strCache>
            </c:strRef>
          </c:cat>
          <c:val>
            <c:numRef>
              <c:f>Analysis!$C$2:$C$6</c:f>
              <c:numCache>
                <c:formatCode>0</c:formatCode>
                <c:ptCount val="5"/>
                <c:pt idx="0">
                  <c:v>9433.75</c:v>
                </c:pt>
                <c:pt idx="1">
                  <c:v>20872</c:v>
                </c:pt>
                <c:pt idx="2">
                  <c:v>0</c:v>
                </c:pt>
                <c:pt idx="3">
                  <c:v>0</c:v>
                </c:pt>
                <c:pt idx="4">
                  <c:v>6917.5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7-42DB-B142-2C960D63FBF4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Avg Air India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Analysis!$A$2:$A$6</c:f>
              <c:strCache>
                <c:ptCount val="5"/>
                <c:pt idx="0">
                  <c:v>DEL-BOM</c:v>
                </c:pt>
                <c:pt idx="1">
                  <c:v>DEL-BLR</c:v>
                </c:pt>
                <c:pt idx="2">
                  <c:v>DEL-HYD</c:v>
                </c:pt>
                <c:pt idx="3">
                  <c:v>DEL-MAA</c:v>
                </c:pt>
                <c:pt idx="4">
                  <c:v>DEL-CCU</c:v>
                </c:pt>
              </c:strCache>
            </c:strRef>
          </c:cat>
          <c:val>
            <c:numRef>
              <c:f>Analysis!$D$2:$D$6</c:f>
              <c:numCache>
                <c:formatCode>0</c:formatCode>
                <c:ptCount val="5"/>
                <c:pt idx="0">
                  <c:v>8415.5</c:v>
                </c:pt>
                <c:pt idx="1">
                  <c:v>15338.5</c:v>
                </c:pt>
                <c:pt idx="2">
                  <c:v>12846.333333333334</c:v>
                </c:pt>
                <c:pt idx="3">
                  <c:v>13073</c:v>
                </c:pt>
                <c:pt idx="4">
                  <c:v>12226.166666666666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7-42DB-B142-2C960D63F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0500240"/>
        <c:axId val="1090490672"/>
      </c:barChart>
      <c:catAx>
        <c:axId val="109050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90672"/>
        <c:crosses val="autoZero"/>
        <c:auto val="1"/>
        <c:lblAlgn val="ctr"/>
        <c:lblOffset val="100"/>
        <c:noMultiLvlLbl val="0"/>
      </c:catAx>
      <c:valAx>
        <c:axId val="10904906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50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Indigo</a:t>
            </a:r>
            <a:r>
              <a:rPr lang="en-US" sz="1400" baseline="0"/>
              <a:t> Morning vs Evening Fares</a:t>
            </a:r>
          </a:p>
          <a:p>
            <a:pPr algn="ctr">
              <a:defRPr sz="1400"/>
            </a:pP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Avg Indigo</c:v>
                </c:pt>
              </c:strCache>
            </c:strRef>
          </c:tx>
          <c:spPr>
            <a:solidFill>
              <a:srgbClr val="001B94"/>
            </a:solidFill>
            <a:ln>
              <a:noFill/>
            </a:ln>
            <a:effectLst/>
          </c:spPr>
          <c:invertIfNegative val="0"/>
          <c:cat>
            <c:strRef>
              <c:f>Analysis!$A$10:$A$11</c:f>
              <c:strCache>
                <c:ptCount val="2"/>
                <c:pt idx="0">
                  <c:v>Morning </c:v>
                </c:pt>
                <c:pt idx="1">
                  <c:v>Evening </c:v>
                </c:pt>
              </c:strCache>
            </c:strRef>
          </c:cat>
          <c:val>
            <c:numRef>
              <c:f>Analysis!$B$10:$B$11</c:f>
              <c:numCache>
                <c:formatCode>0</c:formatCode>
                <c:ptCount val="2"/>
                <c:pt idx="0">
                  <c:v>11343.066666666668</c:v>
                </c:pt>
                <c:pt idx="1">
                  <c:v>10854.466666666667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C5-4D3F-BC08-A5B401DD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87869296"/>
        <c:axId val="987871376"/>
      </c:barChart>
      <c:catAx>
        <c:axId val="987869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71376"/>
        <c:crosses val="autoZero"/>
        <c:auto val="1"/>
        <c:lblAlgn val="ctr"/>
        <c:lblOffset val="100"/>
        <c:noMultiLvlLbl val="0"/>
      </c:catAx>
      <c:valAx>
        <c:axId val="987871376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6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161924</xdr:rowOff>
    </xdr:from>
    <xdr:to>
      <xdr:col>12</xdr:col>
      <xdr:colOff>66676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14E5B-AEE2-447A-9EC1-5AEB3E81D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219075</xdr:colOff>
      <xdr:row>1</xdr:row>
      <xdr:rowOff>157161</xdr:rowOff>
    </xdr:from>
    <xdr:to>
      <xdr:col>18</xdr:col>
      <xdr:colOff>447675</xdr:colOff>
      <xdr:row>17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E8B89-E1A5-4C5F-9923-CB8AE4D2A8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5813-4E1A-4790-9ECD-8597AA9E5937}">
  <sheetPr filterMode="1"/>
  <dimension ref="A1:L31"/>
  <sheetViews>
    <sheetView zoomScale="90" zoomScaleNormal="90" workbookViewId="0">
      <pane ySplit="1" topLeftCell="A2" activePane="bottomLeft" state="frozen"/>
      <selection pane="bottomLeft" activeCell="E2" sqref="E2:E23"/>
    </sheetView>
  </sheetViews>
  <sheetFormatPr defaultRowHeight="15" x14ac:dyDescent="0.25"/>
  <cols>
    <col min="1" max="1" width="21.85546875" style="2" customWidth="1"/>
    <col min="2" max="2" width="9.85546875" style="2" customWidth="1"/>
    <col min="3" max="3" width="15.140625" style="2" customWidth="1"/>
    <col min="4" max="4" width="23" style="2" customWidth="1"/>
    <col min="5" max="5" width="23.42578125" style="3" customWidth="1"/>
    <col min="6" max="6" width="25" style="4" customWidth="1"/>
    <col min="7" max="7" width="25.140625" style="4" customWidth="1"/>
    <col min="8" max="8" width="14" customWidth="1"/>
    <col min="9" max="9" width="21.5703125" customWidth="1"/>
    <col min="12" max="12" width="14" bestFit="1" customWidth="1"/>
  </cols>
  <sheetData>
    <row r="1" spans="1:9" ht="18.7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1" t="s">
        <v>8</v>
      </c>
      <c r="I1" s="12" t="s">
        <v>9</v>
      </c>
    </row>
    <row r="2" spans="1:9" x14ac:dyDescent="0.25">
      <c r="A2" s="13">
        <v>46186</v>
      </c>
      <c r="B2" s="14" t="s">
        <v>7</v>
      </c>
      <c r="C2" s="15">
        <v>46187</v>
      </c>
      <c r="D2" s="14">
        <f>C2-A2</f>
        <v>1</v>
      </c>
      <c r="E2" s="16">
        <v>8538</v>
      </c>
      <c r="F2" s="17">
        <v>9189</v>
      </c>
      <c r="G2" s="17">
        <v>8638</v>
      </c>
      <c r="H2" s="18" t="s">
        <v>10</v>
      </c>
      <c r="I2" s="19" t="str">
        <f>IF(E2=0,IF(F2=0,"Air India",IF(G2=0,"SpiceJet",IF(F2&lt;=G2,"SpiceJet","Air India"))),IF(F2=0,IF(G2=0,"IndiGo",IF(E2&lt;=G2,"IndiGo","Air India")),IF(G2=0,IF(E2&lt;=F2,"IndiGo","SpiceJet"),IF(AND(E2&lt;=F2,E2&lt;=G2),"IndiGo",IF(AND(F2&lt;=E2,F2&lt;=G2),"SpiceJet","Air India")))))</f>
        <v>IndiGo</v>
      </c>
    </row>
    <row r="3" spans="1:9" x14ac:dyDescent="0.25">
      <c r="A3" s="20">
        <v>46186</v>
      </c>
      <c r="B3" s="21" t="s">
        <v>7</v>
      </c>
      <c r="C3" s="22">
        <v>46187</v>
      </c>
      <c r="D3" s="21">
        <f t="shared" ref="D3:D31" si="0">C3-A3</f>
        <v>1</v>
      </c>
      <c r="E3" s="23">
        <v>9168</v>
      </c>
      <c r="F3" s="24">
        <v>12855</v>
      </c>
      <c r="G3" s="24">
        <v>9401</v>
      </c>
      <c r="H3" s="25" t="s">
        <v>11</v>
      </c>
      <c r="I3" s="26" t="str">
        <f t="shared" ref="I3:I31" si="1">IF(E3=0,IF(F3=0,"Air India",IF(G3=0,"SpiceJet",IF(F3&lt;=G3,"SpiceJet","Air India"))),IF(F3=0,IF(G3=0,"IndiGo",IF(E3&lt;=G3,"IndiGo","Air India")),IF(G3=0,IF(E3&lt;=F3,"IndiGo","SpiceJet"),IF(AND(E3&lt;=F3,E3&lt;=G3),"IndiGo",IF(AND(F3&lt;=E3,F3&lt;=G3),"SpiceJet","Air India")))))</f>
        <v>IndiGo</v>
      </c>
    </row>
    <row r="4" spans="1:9" hidden="1" x14ac:dyDescent="0.25">
      <c r="A4" s="13">
        <v>46186</v>
      </c>
      <c r="B4" s="14" t="s">
        <v>12</v>
      </c>
      <c r="C4" s="15">
        <v>46187</v>
      </c>
      <c r="D4" s="14">
        <f t="shared" si="0"/>
        <v>1</v>
      </c>
      <c r="E4" s="16">
        <v>14809</v>
      </c>
      <c r="F4" s="17"/>
      <c r="G4" s="17">
        <v>15375</v>
      </c>
      <c r="H4" s="18" t="s">
        <v>10</v>
      </c>
      <c r="I4" s="19" t="str">
        <f t="shared" si="1"/>
        <v>IndiGo</v>
      </c>
    </row>
    <row r="5" spans="1:9" hidden="1" x14ac:dyDescent="0.25">
      <c r="A5" s="20">
        <v>46186</v>
      </c>
      <c r="B5" s="21" t="s">
        <v>12</v>
      </c>
      <c r="C5" s="22">
        <v>46187</v>
      </c>
      <c r="D5" s="21">
        <f t="shared" si="0"/>
        <v>1</v>
      </c>
      <c r="E5" s="23">
        <v>16294</v>
      </c>
      <c r="F5" s="24">
        <v>25311</v>
      </c>
      <c r="G5" s="24">
        <v>33352</v>
      </c>
      <c r="H5" s="25" t="s">
        <v>11</v>
      </c>
      <c r="I5" s="26" t="str">
        <f t="shared" si="1"/>
        <v>IndiGo</v>
      </c>
    </row>
    <row r="6" spans="1:9" hidden="1" x14ac:dyDescent="0.25">
      <c r="A6" s="13">
        <v>46186</v>
      </c>
      <c r="B6" s="14" t="s">
        <v>14</v>
      </c>
      <c r="C6" s="15">
        <v>46187</v>
      </c>
      <c r="D6" s="14">
        <f t="shared" si="0"/>
        <v>1</v>
      </c>
      <c r="E6" s="16">
        <v>17562</v>
      </c>
      <c r="F6" s="17"/>
      <c r="G6" s="17">
        <v>22596</v>
      </c>
      <c r="H6" s="18" t="s">
        <v>10</v>
      </c>
      <c r="I6" s="19" t="str">
        <f t="shared" si="1"/>
        <v>IndiGo</v>
      </c>
    </row>
    <row r="7" spans="1:9" hidden="1" x14ac:dyDescent="0.25">
      <c r="A7" s="20">
        <v>46186</v>
      </c>
      <c r="B7" s="21" t="s">
        <v>14</v>
      </c>
      <c r="C7" s="22">
        <v>46187</v>
      </c>
      <c r="D7" s="21">
        <f t="shared" si="0"/>
        <v>1</v>
      </c>
      <c r="E7" s="23">
        <v>20400</v>
      </c>
      <c r="F7" s="24"/>
      <c r="G7" s="24">
        <v>22596</v>
      </c>
      <c r="H7" s="25" t="s">
        <v>11</v>
      </c>
      <c r="I7" s="26" t="str">
        <f t="shared" si="1"/>
        <v>IndiGo</v>
      </c>
    </row>
    <row r="8" spans="1:9" hidden="1" x14ac:dyDescent="0.25">
      <c r="A8" s="13">
        <v>46186</v>
      </c>
      <c r="B8" s="14" t="s">
        <v>13</v>
      </c>
      <c r="C8" s="15">
        <v>46187</v>
      </c>
      <c r="D8" s="14">
        <f t="shared" si="0"/>
        <v>1</v>
      </c>
      <c r="E8" s="16">
        <v>16437</v>
      </c>
      <c r="F8" s="17"/>
      <c r="G8" s="17">
        <v>17640</v>
      </c>
      <c r="H8" s="18" t="s">
        <v>10</v>
      </c>
      <c r="I8" s="19" t="str">
        <f t="shared" si="1"/>
        <v>IndiGo</v>
      </c>
    </row>
    <row r="9" spans="1:9" hidden="1" x14ac:dyDescent="0.25">
      <c r="A9" s="20">
        <v>46186</v>
      </c>
      <c r="B9" s="21" t="s">
        <v>13</v>
      </c>
      <c r="C9" s="22">
        <v>46187</v>
      </c>
      <c r="D9" s="21">
        <f t="shared" si="0"/>
        <v>1</v>
      </c>
      <c r="E9" s="23">
        <v>14571</v>
      </c>
      <c r="F9" s="24"/>
      <c r="G9" s="24">
        <v>16015</v>
      </c>
      <c r="H9" s="25" t="s">
        <v>11</v>
      </c>
      <c r="I9" s="26" t="str">
        <f t="shared" si="1"/>
        <v>IndiGo</v>
      </c>
    </row>
    <row r="10" spans="1:9" hidden="1" x14ac:dyDescent="0.25">
      <c r="A10" s="13">
        <v>46186</v>
      </c>
      <c r="B10" s="14" t="s">
        <v>15</v>
      </c>
      <c r="C10" s="15">
        <v>46187</v>
      </c>
      <c r="D10" s="14">
        <f t="shared" si="0"/>
        <v>1</v>
      </c>
      <c r="E10" s="16">
        <v>20195</v>
      </c>
      <c r="F10" s="17"/>
      <c r="G10" s="17">
        <v>24171</v>
      </c>
      <c r="H10" s="18" t="s">
        <v>10</v>
      </c>
      <c r="I10" s="19" t="str">
        <f t="shared" si="1"/>
        <v>IndiGo</v>
      </c>
    </row>
    <row r="11" spans="1:9" hidden="1" x14ac:dyDescent="0.25">
      <c r="A11" s="20">
        <v>46186</v>
      </c>
      <c r="B11" s="21" t="s">
        <v>15</v>
      </c>
      <c r="C11" s="22">
        <v>46187</v>
      </c>
      <c r="D11" s="21">
        <f t="shared" si="0"/>
        <v>1</v>
      </c>
      <c r="E11" s="23">
        <v>18089</v>
      </c>
      <c r="F11" s="24"/>
      <c r="G11" s="24">
        <v>17577</v>
      </c>
      <c r="H11" s="25" t="s">
        <v>11</v>
      </c>
      <c r="I11" s="26" t="str">
        <f t="shared" si="1"/>
        <v>Air India</v>
      </c>
    </row>
    <row r="12" spans="1:9" x14ac:dyDescent="0.25">
      <c r="A12" s="13">
        <v>46186</v>
      </c>
      <c r="B12" s="14" t="s">
        <v>7</v>
      </c>
      <c r="C12" s="15">
        <v>46193</v>
      </c>
      <c r="D12" s="14">
        <f t="shared" si="0"/>
        <v>7</v>
      </c>
      <c r="E12" s="16">
        <v>8538</v>
      </c>
      <c r="F12" s="17"/>
      <c r="G12" s="17">
        <v>8638</v>
      </c>
      <c r="H12" s="18" t="s">
        <v>10</v>
      </c>
      <c r="I12" s="19" t="str">
        <f t="shared" si="1"/>
        <v>IndiGo</v>
      </c>
    </row>
    <row r="13" spans="1:9" x14ac:dyDescent="0.25">
      <c r="A13" s="20">
        <v>46186</v>
      </c>
      <c r="B13" s="21" t="s">
        <v>7</v>
      </c>
      <c r="C13" s="22">
        <v>46193</v>
      </c>
      <c r="D13" s="21">
        <f t="shared" si="0"/>
        <v>7</v>
      </c>
      <c r="E13" s="23">
        <v>8538</v>
      </c>
      <c r="F13" s="24">
        <v>8417</v>
      </c>
      <c r="G13" s="24">
        <v>8638</v>
      </c>
      <c r="H13" s="25" t="s">
        <v>11</v>
      </c>
      <c r="I13" s="26" t="str">
        <f t="shared" si="1"/>
        <v>SpiceJet</v>
      </c>
    </row>
    <row r="14" spans="1:9" hidden="1" x14ac:dyDescent="0.25">
      <c r="A14" s="13">
        <v>46186</v>
      </c>
      <c r="B14" s="14" t="s">
        <v>12</v>
      </c>
      <c r="C14" s="15">
        <v>46193</v>
      </c>
      <c r="D14" s="14">
        <f t="shared" si="0"/>
        <v>7</v>
      </c>
      <c r="E14" s="16">
        <v>11180</v>
      </c>
      <c r="F14" s="17"/>
      <c r="G14" s="17">
        <v>11632</v>
      </c>
      <c r="H14" s="18" t="s">
        <v>10</v>
      </c>
      <c r="I14" s="19" t="str">
        <f t="shared" si="1"/>
        <v>IndiGo</v>
      </c>
    </row>
    <row r="15" spans="1:9" hidden="1" x14ac:dyDescent="0.25">
      <c r="A15" s="20">
        <v>46186</v>
      </c>
      <c r="B15" s="21" t="s">
        <v>12</v>
      </c>
      <c r="C15" s="22">
        <v>46193</v>
      </c>
      <c r="D15" s="21">
        <f t="shared" si="0"/>
        <v>7</v>
      </c>
      <c r="E15" s="23">
        <v>10201</v>
      </c>
      <c r="F15" s="24">
        <v>16433</v>
      </c>
      <c r="G15" s="24">
        <v>11430</v>
      </c>
      <c r="H15" s="25" t="s">
        <v>11</v>
      </c>
      <c r="I15" s="26" t="str">
        <f t="shared" si="1"/>
        <v>IndiGo</v>
      </c>
    </row>
    <row r="16" spans="1:9" hidden="1" x14ac:dyDescent="0.25">
      <c r="A16" s="13">
        <v>46186</v>
      </c>
      <c r="B16" s="14" t="s">
        <v>14</v>
      </c>
      <c r="C16" s="15">
        <v>46193</v>
      </c>
      <c r="D16" s="14">
        <f t="shared" si="0"/>
        <v>7</v>
      </c>
      <c r="E16" s="16">
        <v>9297</v>
      </c>
      <c r="F16" s="17"/>
      <c r="G16" s="17">
        <v>8917</v>
      </c>
      <c r="H16" s="18" t="s">
        <v>10</v>
      </c>
      <c r="I16" s="19" t="str">
        <f t="shared" si="1"/>
        <v>Air India</v>
      </c>
    </row>
    <row r="17" spans="1:12" hidden="1" x14ac:dyDescent="0.25">
      <c r="A17" s="20">
        <v>46186</v>
      </c>
      <c r="B17" s="21" t="s">
        <v>14</v>
      </c>
      <c r="C17" s="22">
        <v>46193</v>
      </c>
      <c r="D17" s="21">
        <f t="shared" si="0"/>
        <v>7</v>
      </c>
      <c r="E17" s="23">
        <v>8667</v>
      </c>
      <c r="F17" s="24"/>
      <c r="G17" s="24">
        <v>9400</v>
      </c>
      <c r="H17" s="25" t="s">
        <v>11</v>
      </c>
      <c r="I17" s="26" t="str">
        <f t="shared" si="1"/>
        <v>IndiGo</v>
      </c>
    </row>
    <row r="18" spans="1:12" hidden="1" x14ac:dyDescent="0.25">
      <c r="A18" s="13">
        <v>46186</v>
      </c>
      <c r="B18" s="14" t="s">
        <v>13</v>
      </c>
      <c r="C18" s="15">
        <v>46193</v>
      </c>
      <c r="D18" s="14">
        <f t="shared" si="0"/>
        <v>7</v>
      </c>
      <c r="E18" s="16">
        <v>11503</v>
      </c>
      <c r="F18" s="17"/>
      <c r="G18" s="17">
        <v>13324</v>
      </c>
      <c r="H18" s="18" t="s">
        <v>10</v>
      </c>
      <c r="I18" s="19" t="str">
        <f t="shared" si="1"/>
        <v>IndiGo</v>
      </c>
    </row>
    <row r="19" spans="1:12" hidden="1" x14ac:dyDescent="0.25">
      <c r="A19" s="20">
        <v>46186</v>
      </c>
      <c r="B19" s="21" t="s">
        <v>13</v>
      </c>
      <c r="C19" s="22">
        <v>46193</v>
      </c>
      <c r="D19" s="21">
        <f t="shared" si="0"/>
        <v>7</v>
      </c>
      <c r="E19" s="23">
        <v>9678</v>
      </c>
      <c r="F19" s="24"/>
      <c r="G19" s="24">
        <v>12071</v>
      </c>
      <c r="H19" s="25" t="s">
        <v>11</v>
      </c>
      <c r="I19" s="26" t="str">
        <f t="shared" si="1"/>
        <v>IndiGo</v>
      </c>
      <c r="L19" s="1"/>
    </row>
    <row r="20" spans="1:12" hidden="1" x14ac:dyDescent="0.25">
      <c r="A20" s="13">
        <v>46186</v>
      </c>
      <c r="B20" s="14" t="s">
        <v>15</v>
      </c>
      <c r="C20" s="15">
        <v>46193</v>
      </c>
      <c r="D20" s="14">
        <f t="shared" si="0"/>
        <v>7</v>
      </c>
      <c r="E20" s="16">
        <v>13160</v>
      </c>
      <c r="F20" s="17"/>
      <c r="G20" s="17">
        <v>8153</v>
      </c>
      <c r="H20" s="18" t="s">
        <v>10</v>
      </c>
      <c r="I20" s="19" t="str">
        <f t="shared" si="1"/>
        <v>Air India</v>
      </c>
      <c r="L20" s="1"/>
    </row>
    <row r="21" spans="1:12" hidden="1" x14ac:dyDescent="0.25">
      <c r="A21" s="20">
        <v>46186</v>
      </c>
      <c r="B21" s="21" t="s">
        <v>15</v>
      </c>
      <c r="C21" s="22">
        <v>46193</v>
      </c>
      <c r="D21" s="21">
        <f t="shared" si="0"/>
        <v>7</v>
      </c>
      <c r="E21" s="23">
        <v>8009</v>
      </c>
      <c r="F21" s="24">
        <v>6974</v>
      </c>
      <c r="G21" s="24">
        <v>9102</v>
      </c>
      <c r="H21" s="25" t="s">
        <v>11</v>
      </c>
      <c r="I21" s="26" t="str">
        <f t="shared" si="1"/>
        <v>SpiceJet</v>
      </c>
    </row>
    <row r="22" spans="1:12" x14ac:dyDescent="0.25">
      <c r="A22" s="13">
        <v>46186</v>
      </c>
      <c r="B22" s="14" t="s">
        <v>7</v>
      </c>
      <c r="C22" s="15">
        <v>46216</v>
      </c>
      <c r="D22" s="14">
        <f t="shared" si="0"/>
        <v>30</v>
      </c>
      <c r="E22" s="16">
        <v>7486</v>
      </c>
      <c r="F22" s="17"/>
      <c r="G22" s="17">
        <v>7589</v>
      </c>
      <c r="H22" s="18" t="s">
        <v>10</v>
      </c>
      <c r="I22" s="19" t="str">
        <f t="shared" si="1"/>
        <v>IndiGo</v>
      </c>
    </row>
    <row r="23" spans="1:12" x14ac:dyDescent="0.25">
      <c r="A23" s="20">
        <v>46186</v>
      </c>
      <c r="B23" s="21" t="s">
        <v>7</v>
      </c>
      <c r="C23" s="22">
        <v>46216</v>
      </c>
      <c r="D23" s="21">
        <f t="shared" si="0"/>
        <v>30</v>
      </c>
      <c r="E23" s="23">
        <v>7486</v>
      </c>
      <c r="F23" s="24">
        <v>7274</v>
      </c>
      <c r="G23" s="24">
        <v>7589</v>
      </c>
      <c r="H23" s="25" t="s">
        <v>11</v>
      </c>
      <c r="I23" s="26" t="str">
        <f t="shared" si="1"/>
        <v>SpiceJet</v>
      </c>
    </row>
    <row r="24" spans="1:12" hidden="1" x14ac:dyDescent="0.25">
      <c r="A24" s="13">
        <v>46186</v>
      </c>
      <c r="B24" s="14" t="s">
        <v>12</v>
      </c>
      <c r="C24" s="15">
        <v>46216</v>
      </c>
      <c r="D24" s="14">
        <f t="shared" si="0"/>
        <v>30</v>
      </c>
      <c r="E24" s="16">
        <v>9900</v>
      </c>
      <c r="F24" s="17"/>
      <c r="G24" s="17">
        <v>10121</v>
      </c>
      <c r="H24" s="18" t="s">
        <v>10</v>
      </c>
      <c r="I24" s="19" t="str">
        <f t="shared" si="1"/>
        <v>IndiGo</v>
      </c>
    </row>
    <row r="25" spans="1:12" hidden="1" x14ac:dyDescent="0.25">
      <c r="A25" s="20">
        <v>46186</v>
      </c>
      <c r="B25" s="21" t="s">
        <v>12</v>
      </c>
      <c r="C25" s="22">
        <v>46216</v>
      </c>
      <c r="D25" s="21">
        <f t="shared" si="0"/>
        <v>30</v>
      </c>
      <c r="E25" s="23">
        <v>9900</v>
      </c>
      <c r="F25" s="24"/>
      <c r="G25" s="24">
        <v>10121</v>
      </c>
      <c r="H25" s="25" t="s">
        <v>11</v>
      </c>
      <c r="I25" s="26" t="str">
        <f t="shared" si="1"/>
        <v>IndiGo</v>
      </c>
    </row>
    <row r="26" spans="1:12" hidden="1" x14ac:dyDescent="0.25">
      <c r="A26" s="13">
        <v>46186</v>
      </c>
      <c r="B26" s="14" t="s">
        <v>14</v>
      </c>
      <c r="C26" s="15">
        <v>46216</v>
      </c>
      <c r="D26" s="14">
        <f t="shared" si="0"/>
        <v>30</v>
      </c>
      <c r="E26" s="16">
        <v>6420</v>
      </c>
      <c r="F26" s="17"/>
      <c r="G26" s="17">
        <v>6619</v>
      </c>
      <c r="H26" s="18" t="s">
        <v>10</v>
      </c>
      <c r="I26" s="19" t="str">
        <f t="shared" si="1"/>
        <v>IndiGo</v>
      </c>
    </row>
    <row r="27" spans="1:12" hidden="1" x14ac:dyDescent="0.25">
      <c r="A27" s="20">
        <v>46186</v>
      </c>
      <c r="B27" s="21" t="s">
        <v>14</v>
      </c>
      <c r="C27" s="22">
        <v>46216</v>
      </c>
      <c r="D27" s="21">
        <f t="shared" si="0"/>
        <v>30</v>
      </c>
      <c r="E27" s="23">
        <v>6420</v>
      </c>
      <c r="F27" s="24"/>
      <c r="G27" s="24">
        <v>6950</v>
      </c>
      <c r="H27" s="25" t="s">
        <v>11</v>
      </c>
      <c r="I27" s="26" t="str">
        <f t="shared" si="1"/>
        <v>IndiGo</v>
      </c>
    </row>
    <row r="28" spans="1:12" hidden="1" x14ac:dyDescent="0.25">
      <c r="A28" s="13">
        <v>46186</v>
      </c>
      <c r="B28" s="14" t="s">
        <v>13</v>
      </c>
      <c r="C28" s="15">
        <v>46216</v>
      </c>
      <c r="D28" s="14">
        <f t="shared" si="0"/>
        <v>30</v>
      </c>
      <c r="E28" s="16">
        <v>8181</v>
      </c>
      <c r="F28" s="17"/>
      <c r="G28" s="17">
        <v>8431</v>
      </c>
      <c r="H28" s="18" t="s">
        <v>10</v>
      </c>
      <c r="I28" s="19" t="str">
        <f t="shared" si="1"/>
        <v>IndiGo</v>
      </c>
    </row>
    <row r="29" spans="1:12" hidden="1" x14ac:dyDescent="0.25">
      <c r="A29" s="20">
        <v>46186</v>
      </c>
      <c r="B29" s="21" t="s">
        <v>13</v>
      </c>
      <c r="C29" s="22">
        <v>46216</v>
      </c>
      <c r="D29" s="21">
        <f t="shared" si="0"/>
        <v>30</v>
      </c>
      <c r="E29" s="23">
        <v>8647</v>
      </c>
      <c r="F29" s="24"/>
      <c r="G29" s="24">
        <v>10957</v>
      </c>
      <c r="H29" s="25" t="s">
        <v>11</v>
      </c>
      <c r="I29" s="26" t="str">
        <f t="shared" si="1"/>
        <v>IndiGo</v>
      </c>
    </row>
    <row r="30" spans="1:12" hidden="1" x14ac:dyDescent="0.25">
      <c r="A30" s="13">
        <v>46186</v>
      </c>
      <c r="B30" s="14" t="s">
        <v>15</v>
      </c>
      <c r="C30" s="15">
        <v>46216</v>
      </c>
      <c r="D30" s="14">
        <f t="shared" si="0"/>
        <v>30</v>
      </c>
      <c r="E30" s="16">
        <v>6940</v>
      </c>
      <c r="F30" s="17"/>
      <c r="G30" s="17">
        <v>7343</v>
      </c>
      <c r="H30" s="18" t="s">
        <v>10</v>
      </c>
      <c r="I30" s="19" t="str">
        <f t="shared" si="1"/>
        <v>IndiGo</v>
      </c>
    </row>
    <row r="31" spans="1:12" hidden="1" x14ac:dyDescent="0.25">
      <c r="A31" s="27">
        <v>46186</v>
      </c>
      <c r="B31" s="28" t="s">
        <v>15</v>
      </c>
      <c r="C31" s="29">
        <v>46216</v>
      </c>
      <c r="D31" s="28">
        <f t="shared" si="0"/>
        <v>30</v>
      </c>
      <c r="E31" s="30">
        <v>6749</v>
      </c>
      <c r="F31" s="31">
        <v>6861</v>
      </c>
      <c r="G31" s="31">
        <v>7011</v>
      </c>
      <c r="H31" s="5" t="s">
        <v>11</v>
      </c>
      <c r="I31" s="6" t="str">
        <f t="shared" si="1"/>
        <v>IndiGo</v>
      </c>
    </row>
  </sheetData>
  <autoFilter ref="A1:I31" xr:uid="{AFBC5813-4E1A-4790-9ECD-8597AA9E5937}">
    <filterColumn colId="1">
      <filters>
        <filter val="DEL-BO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D8E8-AF0F-4807-91FF-5B4F65ECF2D7}">
  <dimension ref="A1:D24"/>
  <sheetViews>
    <sheetView tabSelected="1" zoomScale="91" zoomScaleNormal="91" workbookViewId="0">
      <selection activeCell="L1" sqref="L1"/>
    </sheetView>
  </sheetViews>
  <sheetFormatPr defaultRowHeight="15" x14ac:dyDescent="0.25"/>
  <cols>
    <col min="2" max="2" width="14.7109375" bestFit="1" customWidth="1"/>
    <col min="3" max="3" width="13.7109375" bestFit="1" customWidth="1"/>
    <col min="4" max="4" width="12.28515625" bestFit="1" customWidth="1"/>
  </cols>
  <sheetData>
    <row r="1" spans="1:4" x14ac:dyDescent="0.25">
      <c r="A1" s="32" t="s">
        <v>16</v>
      </c>
      <c r="B1" s="32" t="s">
        <v>17</v>
      </c>
      <c r="C1" s="32" t="s">
        <v>19</v>
      </c>
      <c r="D1" s="32" t="s">
        <v>18</v>
      </c>
    </row>
    <row r="2" spans="1:4" x14ac:dyDescent="0.25">
      <c r="A2" t="str" cm="1">
        <f t="array" ref="A2:A6">_xlfn.UNIQUE('Raw Data'!B2:B31)</f>
        <v>DEL-BOM</v>
      </c>
      <c r="B2" s="33">
        <f>AVERAGEIF('Raw Data'!$B$2:$B$31,Analysis!A2,'Raw Data'!$E$2:$E$31)</f>
        <v>8292.3333333333339</v>
      </c>
      <c r="C2" s="33">
        <f>IFERROR(AVERAGEIF('Raw Data'!$B$2:$B$31,Analysis!A2,'Raw Data'!$F$2:$F$31),"N/A")</f>
        <v>9433.75</v>
      </c>
      <c r="D2" s="33">
        <f>AVERAGEIF('Raw Data'!$B$2:$B$31,Analysis!A2,'Raw Data'!$G$2:$G$31)</f>
        <v>8415.5</v>
      </c>
    </row>
    <row r="3" spans="1:4" x14ac:dyDescent="0.25">
      <c r="A3" t="str">
        <v>DEL-BLR</v>
      </c>
      <c r="B3" s="33">
        <f>AVERAGEIF('Raw Data'!$B$2:$B$31,Analysis!A3,'Raw Data'!$E$2:$E$31)</f>
        <v>12047.333333333334</v>
      </c>
      <c r="C3" s="33">
        <f>IFERROR(AVERAGEIF('Raw Data'!$B$2:$B$31,Analysis!A3,'Raw Data'!$F$2:$F$31),"N/A")</f>
        <v>20872</v>
      </c>
      <c r="D3" s="33">
        <f>AVERAGEIF('Raw Data'!$B$2:$B$31,Analysis!A3,'Raw Data'!$G$2:$G$31)</f>
        <v>15338.5</v>
      </c>
    </row>
    <row r="4" spans="1:4" x14ac:dyDescent="0.25">
      <c r="A4" t="str">
        <v>DEL-HYD</v>
      </c>
      <c r="B4" s="33">
        <f>AVERAGEIF('Raw Data'!$B$2:$B$31,Analysis!A4,'Raw Data'!$E$2:$E$31)</f>
        <v>11461</v>
      </c>
      <c r="C4" s="33" t="str">
        <f>IFERROR(AVERAGEIF('Raw Data'!$B$2:$B$31,Analysis!A4,'Raw Data'!$F$2:$F$31),"N/A")</f>
        <v>N/A</v>
      </c>
      <c r="D4" s="33">
        <f>AVERAGEIF('Raw Data'!$B$2:$B$31,Analysis!A4,'Raw Data'!$G$2:$G$31)</f>
        <v>12846.333333333334</v>
      </c>
    </row>
    <row r="5" spans="1:4" x14ac:dyDescent="0.25">
      <c r="A5" t="str">
        <v>DEL-MAA</v>
      </c>
      <c r="B5" s="33">
        <f>AVERAGEIF('Raw Data'!$B$2:$B$31,Analysis!A5,'Raw Data'!$E$2:$E$31)</f>
        <v>11502.833333333334</v>
      </c>
      <c r="C5" s="33" t="str">
        <f>IFERROR(AVERAGEIF('Raw Data'!$B$2:$B$31,Analysis!A5,'Raw Data'!$F$2:$F$31),"N/A")</f>
        <v>N/A</v>
      </c>
      <c r="D5" s="33">
        <f>AVERAGEIF('Raw Data'!$B$2:$B$31,Analysis!A5,'Raw Data'!$G$2:$G$31)</f>
        <v>13073</v>
      </c>
    </row>
    <row r="6" spans="1:4" x14ac:dyDescent="0.25">
      <c r="A6" t="str">
        <v>DEL-CCU</v>
      </c>
      <c r="B6" s="33">
        <f>AVERAGEIF('Raw Data'!$B$2:$B$31,Analysis!A6,'Raw Data'!$E$2:$E$31)</f>
        <v>12190.333333333334</v>
      </c>
      <c r="C6" s="33">
        <f>IFERROR(AVERAGEIF('Raw Data'!$B$2:$B$31,Analysis!A6,'Raw Data'!$F$2:$F$31),"N/A")</f>
        <v>6917.5</v>
      </c>
      <c r="D6" s="33">
        <f>AVERAGEIF('Raw Data'!$B$2:$B$31,Analysis!A6,'Raw Data'!$G$2:$G$31)</f>
        <v>12226.166666666666</v>
      </c>
    </row>
    <row r="9" spans="1:4" x14ac:dyDescent="0.25">
      <c r="A9" s="32" t="s">
        <v>22</v>
      </c>
      <c r="B9" s="32" t="s">
        <v>17</v>
      </c>
    </row>
    <row r="10" spans="1:4" x14ac:dyDescent="0.25">
      <c r="A10" t="s">
        <v>20</v>
      </c>
      <c r="B10" s="33">
        <f>AVERAGEIFS('Raw Data'!E2:E31,'Raw Data'!H2:H31,"Morning")</f>
        <v>11343.066666666668</v>
      </c>
    </row>
    <row r="11" spans="1:4" x14ac:dyDescent="0.25">
      <c r="A11" t="s">
        <v>21</v>
      </c>
      <c r="B11" s="33">
        <f>AVERAGEIFS('Raw Data'!E2:E31,'Raw Data'!H2:H31,"Evening")</f>
        <v>10854.466666666667</v>
      </c>
    </row>
    <row r="20" spans="1:1" x14ac:dyDescent="0.25">
      <c r="A20" t="s">
        <v>23</v>
      </c>
    </row>
    <row r="21" spans="1:1" x14ac:dyDescent="0.25">
      <c r="A21" t="s">
        <v>27</v>
      </c>
    </row>
    <row r="22" spans="1:1" x14ac:dyDescent="0.25">
      <c r="A22" t="s">
        <v>24</v>
      </c>
    </row>
    <row r="23" spans="1:1" x14ac:dyDescent="0.25">
      <c r="A23" t="s">
        <v>26</v>
      </c>
    </row>
    <row r="24" spans="1:1" x14ac:dyDescent="0.25">
      <c r="A24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 Data</vt:lpstr>
      <vt:lpstr>Analysis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2026-06-12T18:11:02Z</dcterms:created>
  <dcterms:modified xsi:type="dcterms:W3CDTF">2026-10-17T09:35:36Z</dcterms:modified>
</cp:coreProperties>
</file>